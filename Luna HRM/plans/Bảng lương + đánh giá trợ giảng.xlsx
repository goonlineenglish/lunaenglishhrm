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OneDrive\LunaEnglish.online\LEC - Operation\LnGS- Đào tạo\Trợ giảng\"/>
    </mc:Choice>
  </mc:AlternateContent>
  <xr:revisionPtr revIDLastSave="0" documentId="13_ncr:1_{023CA0FC-165C-4174-AD13-20596316E7E8}" xr6:coauthVersionLast="47" xr6:coauthVersionMax="47" xr10:uidLastSave="{00000000-0000-0000-0000-000000000000}"/>
  <bookViews>
    <workbookView xWindow="-110" yWindow="-110" windowWidth="19420" windowHeight="10420" xr2:uid="{CCE2F42C-EE2A-42BF-8654-DCD8B3BEDC4E}"/>
  </bookViews>
  <sheets>
    <sheet name="Sheet1" sheetId="1" r:id="rId1"/>
    <sheet name="Sheet2" sheetId="2" r:id="rId2"/>
  </sheets>
  <definedNames>
    <definedName name="_xlnm.Print_Area" localSheetId="0">Sheet1!$A$1:$G$19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2" l="1"/>
  <c r="U3" i="2"/>
</calcChain>
</file>

<file path=xl/sharedStrings.xml><?xml version="1.0" encoding="utf-8"?>
<sst xmlns="http://schemas.openxmlformats.org/spreadsheetml/2006/main" count="53" uniqueCount="46">
  <si>
    <t>Tiêu chí đánh giá</t>
  </si>
  <si>
    <t xml:space="preserve">Lương cứng </t>
  </si>
  <si>
    <t>Đi đúng giờ (tối thiểu 15 phút trước giờ học của lớp)</t>
  </si>
  <si>
    <t>Hoàn thành các công việc của trợ giảng trong mô tả công việc đính kèm</t>
  </si>
  <si>
    <t>Điểm danh học sinh hàng ngày, 
+ thông báo cho quản lý khi có học sinh nghỉ không lí do</t>
  </si>
  <si>
    <t>Điểm mẫu</t>
  </si>
  <si>
    <t>Điểm thực tế</t>
  </si>
  <si>
    <t>Đánh giá</t>
  </si>
  <si>
    <t>Đạt/không đạt</t>
  </si>
  <si>
    <t>Set up lớp học: bàn ghế, tài liệu, gọn gàng, không gian sạch sẽ
Bảo quản tài liệu học, cơ sở vật chất</t>
  </si>
  <si>
    <t>Nhận xét</t>
  </si>
  <si>
    <t xml:space="preserve">Thưởng </t>
  </si>
  <si>
    <t>Tổng lương</t>
  </si>
  <si>
    <t>Lương cứng</t>
  </si>
  <si>
    <t>75000đ/Buổi</t>
  </si>
  <si>
    <t>Tên tiếng Việt</t>
  </si>
  <si>
    <t>Tên tiếng Anh</t>
  </si>
  <si>
    <t>Email</t>
  </si>
  <si>
    <t xml:space="preserve">Lớp </t>
  </si>
  <si>
    <t>Số buổi làm việc</t>
  </si>
  <si>
    <t xml:space="preserve">Lương dạy thay </t>
  </si>
  <si>
    <t xml:space="preserve">Số buổi dạy thay </t>
  </si>
  <si>
    <t>Lương khác</t>
  </si>
  <si>
    <t>Đánh giá tiêu chí thưởng</t>
  </si>
  <si>
    <t>Giờ TSI
=&lt;1</t>
  </si>
  <si>
    <t>Comment</t>
  </si>
  <si>
    <t>Giờ REP 
=&lt;3</t>
  </si>
  <si>
    <t>Phụ huynh
=&lt;2</t>
  </si>
  <si>
    <t>Học sinh
=&lt;3</t>
  </si>
  <si>
    <t>Tác phong làm việc
=&lt;1</t>
  </si>
  <si>
    <t>Thưởng: 100,000 - 400,000/tháng</t>
  </si>
  <si>
    <t>Tổng điểm mẫu tối đa</t>
  </si>
  <si>
    <t>Mục đích tính lương thưởng: Nâng cao chất lượng làm việc dựa trên các tiêu chí đánh giá cụ thể</t>
  </si>
  <si>
    <t>Tên trợ giảng + giáo viên Funtime:</t>
  </si>
  <si>
    <t>Tháng:</t>
  </si>
  <si>
    <t>9- 10 điểm: xuất sắc, không cần hoàn thiện gì thêm
7-8 điểm: rất tốt
5-6: tốt, đạt yêu cầu, vẫn cần cải thiện tiếp
3-5: yếu, cần cải thiện nhiều
1-2: cực yếu</t>
  </si>
  <si>
    <t>Với học sinh: 10 điểm
9- 10 điểm: xuất sắc, không cần hoàn thiện gì thêm
7-8 điểm: rất tốt
5-6: tốt, đạt yêu cầu, vẫn cần cải thiện tiếp
3-5: yếu, cần cải thiện nhiều
1-2: cực yếu
Nề nếp học của lớp: tối đa 10 điểm
9- 10 điểm: xuất sắc, không cần hoàn thiện gì thêm
7-8 điểm: rất tốt
5-6: tốt, đạt yêu cầu, vẫn cần cải thiện tiếp
3-5: yếu, cần cải thiện nhiều
1-2: cực yếu
An toàn của trẻ: không có bất kỳ nguy cơ mất an toàn cho trẻ: tối đa 10 điểm
9- 10 điểm: xuất sắc, không cần hoàn thiện gì thêm
7-8 điểm: rất tốt
5-6: tốt, đạt yêu cầu, vẫn cần cải thiện tiếp
3-5: yếu, cần cải thiện nhiều
1-2: cực yếu</t>
  </si>
  <si>
    <t>Hướng dẫn chấm các mức thưởng</t>
  </si>
  <si>
    <r>
      <rPr>
        <b/>
        <u/>
        <sz val="20"/>
        <color theme="1"/>
        <rFont val="Calibri"/>
        <family val="2"/>
        <scheme val="minor"/>
      </rPr>
      <t>Với giờ TSI</t>
    </r>
    <r>
      <rPr>
        <sz val="20"/>
        <color theme="1"/>
        <rFont val="Calibri"/>
        <family val="2"/>
        <scheme val="minor"/>
      </rPr>
      <t xml:space="preserve">
+ Hỗ trợ giáo viên xây dựng, duy trì nề nếp, kỷ luật cho 80% học sinh: tối đa 10 điểm  </t>
    </r>
  </si>
  <si>
    <r>
      <rPr>
        <b/>
        <u/>
        <sz val="20"/>
        <color theme="1"/>
        <rFont val="Calibri"/>
        <family val="2"/>
        <scheme val="minor"/>
      </rPr>
      <t>Với phụ huynh</t>
    </r>
    <r>
      <rPr>
        <sz val="20"/>
        <color theme="1"/>
        <rFont val="Calibri"/>
        <family val="2"/>
        <scheme val="minor"/>
      </rPr>
      <t xml:space="preserve">
+ Niềm nở, nhiệt tình, tạo thiện cảm với phụ huynh: tối đa 10 điểm
+ chủ động trao đổi thông tin học tập của con với phụ huynh khi đón trả trẻ: tối đa 10 điểm
+ Tích cực kết nối phụ huynh ngoài giờ học (trên nhóm phụ huynh): tối đa 10 điểm</t>
    </r>
  </si>
  <si>
    <r>
      <rPr>
        <b/>
        <sz val="20"/>
        <color theme="1"/>
        <rFont val="Calibri"/>
        <family val="2"/>
        <scheme val="minor"/>
      </rPr>
      <t>+ Niềm nở, nhiệt tình, tạo thiện cảm với phụ huynh: tối đa 10 điểm</t>
    </r>
    <r>
      <rPr>
        <sz val="20"/>
        <color theme="1"/>
        <rFont val="Calibri"/>
        <family val="2"/>
        <scheme val="minor"/>
      </rPr>
      <t xml:space="preserve">
9- 10 điểm: xuất sắc, không cần hoàn thiện gì thêm
7-8 điểm: rất tốt
5-6: tốt, đạt yêu cầu, vẫn cần cải thiện tiếp
3-5: yếu, cần cải thiện nhiều
1-2: cực yếu
</t>
    </r>
    <r>
      <rPr>
        <b/>
        <sz val="20"/>
        <color theme="1"/>
        <rFont val="Calibri"/>
        <family val="2"/>
        <scheme val="minor"/>
      </rPr>
      <t xml:space="preserve">+ chủ động trao đổi thông tin học tập của con với phụ huynh khi đón trả trẻ: tối đa 10 điểm
</t>
    </r>
    <r>
      <rPr>
        <sz val="20"/>
        <color theme="1"/>
        <rFont val="Calibri"/>
        <family val="2"/>
        <scheme val="minor"/>
      </rPr>
      <t xml:space="preserve">
9- 10 điểm: xuất sắc, không cần hoàn thiện gì thêm
7-8 điểm: rất tốt
5-6: tốt, đạt yêu cầu, vẫn cần cải thiện tiếp
3-5: yếu, cần cải thiện nhiều
1-2: cực yếu
</t>
    </r>
    <r>
      <rPr>
        <b/>
        <sz val="20"/>
        <color theme="1"/>
        <rFont val="Calibri"/>
        <family val="2"/>
        <scheme val="minor"/>
      </rPr>
      <t xml:space="preserve">+ Tích cực kết nối phụ huynh ngoài giờ học (trên nhóm phụ huynh): tối đa 10 điểm
</t>
    </r>
    <r>
      <rPr>
        <sz val="20"/>
        <color theme="1"/>
        <rFont val="Calibri"/>
        <family val="2"/>
        <scheme val="minor"/>
      </rPr>
      <t>9- 10 điểm: xuất sắc, không cần hoàn thiện gì thêm
7-8 điểm: rất tốt
5-6: tốt, đạt yêu cầu, vẫn cần cải thiện tiếp
3-5: yếu, cần cải thiện nhiều
1-2: cực yếu</t>
    </r>
  </si>
  <si>
    <r>
      <rPr>
        <b/>
        <u/>
        <sz val="20"/>
        <color theme="1"/>
        <rFont val="Calibri"/>
        <family val="2"/>
        <scheme val="minor"/>
      </rPr>
      <t>Với học sinh: 10 điểm</t>
    </r>
    <r>
      <rPr>
        <sz val="20"/>
        <color theme="1"/>
        <rFont val="Calibri"/>
        <family val="2"/>
        <scheme val="minor"/>
      </rPr>
      <t xml:space="preserve">
+ Trẻ nói tiếng Anh 100% trong và ngoài lớp học tại cơ sở trung tâm
+ niềm nở, ân cần, không cau có, quát nạt học sinh khi không có lí do cụ thể
+ Sử dụng các câu hiệu lệnh hay khi nói chuyện với trẻ (có hướng dẫn kèm theo)
</t>
    </r>
    <r>
      <rPr>
        <b/>
        <u/>
        <sz val="20"/>
        <color theme="1"/>
        <rFont val="Calibri"/>
        <family val="2"/>
        <scheme val="minor"/>
      </rPr>
      <t>Nề nếp học của lớp: tối đa 10 điểm</t>
    </r>
    <r>
      <rPr>
        <sz val="20"/>
        <color theme="1"/>
        <rFont val="Calibri"/>
        <family val="2"/>
        <scheme val="minor"/>
      </rPr>
      <t xml:space="preserve">
+ học sinh ngồi ngoan, tập trung, 
+ tạo động lực học tích cực cho học sinh
</t>
    </r>
    <r>
      <rPr>
        <b/>
        <u/>
        <sz val="20"/>
        <color theme="1"/>
        <rFont val="Calibri"/>
        <family val="2"/>
        <scheme val="minor"/>
      </rPr>
      <t xml:space="preserve">An toàn của trẻ: không có bất kỳ nguy cơ mất an toàn cho trẻ: tối đa 10 điểm
</t>
    </r>
    <r>
      <rPr>
        <sz val="20"/>
        <color theme="1"/>
        <rFont val="Calibri"/>
        <family val="2"/>
        <scheme val="minor"/>
      </rPr>
      <t>+ Không để trẻ chạy nhảy nguy hiểm
+ Không để vật sắc nhọn trong lớp, trong tầm với của trẻ
+ Không để trẻ chạy nhảy trên cầu thang</t>
    </r>
  </si>
  <si>
    <r>
      <rPr>
        <b/>
        <u/>
        <sz val="20"/>
        <color theme="1"/>
        <rFont val="Calibri"/>
        <family val="2"/>
        <scheme val="minor"/>
      </rPr>
      <t>Tác phong làm việc của giáo viên: tối đa 10 điểm</t>
    </r>
    <r>
      <rPr>
        <sz val="20"/>
        <color theme="1"/>
        <rFont val="Calibri"/>
        <family val="2"/>
        <scheme val="minor"/>
      </rPr>
      <t xml:space="preserve">
+ Không nghỉ quá 2 buổi/tháng, nghỉ trên 2 buổi cần có lý do đặc biệt
+ Trang phục phù hợp, lịch sự, đúng với giáo viên
+ Không sử dụng điện thoại cho mục đích cá nhân trong giờ làm việc</t>
    </r>
  </si>
  <si>
    <t xml:space="preserve">
</t>
  </si>
  <si>
    <t xml:space="preserve">+ Giờ Funtime làm theo kế hoạch giờ Funtime của trung tâm: tối đa 10 điểm
9- 10 điểm: xuất sắc, không cần hoàn thiện gì thêm
7-8 điểm: rất tốt
5-6: tốt, đạt yêu cầu, vẫn cần cải thiện tiếp
3-5: yếu, cần cải thiện nhiều
1-2: cực yếu
+ Giáo viên Funtime nắm rõ tình hình học tập từng học sinh trong lớp và chủ động có phương án cải thiện học lực của học sinh trong lớp, và tiến bộ trong thực tế: tối đa 10 điểm
9- 10 điểm: xuất sắc, không cần hoàn thiện gì thêm
7-8 điểm: rất tốt
5-6: tốt, đạt yêu cầu, vẫn cần cải thiện tiếp
3-5: yếu, cần cải thiện nhiều
1-2: cực yếu
+ Đạt mục tiêu giờ Funtime của level đang học (theo kế hoạch giờ Funtime): tối đa 10 điểm
9- 10 điểm: xuất sắc, không cần hoàn thiện gì thêm
7-8 điểm: rất tốt
5-6: tốt, đạt yêu cầu, vẫn cần cải thiện tiếp
3-5: yếu, cần cải thiện nhiều
1-2: cực yếu
</t>
  </si>
  <si>
    <t xml:space="preserve">Với giờ Funtime 
+ Giờ Funtime làm theo kế hoạch giờ Funtime của trung tâm: tối đa 10 điểm
+ Giáo viên Funtime nắm rõ tình hình học tập từng học sinh trong lớp và chủ động có phương án cải thiện học lực của học sinh trong lớp, và tiến bộ trong thực tế: tối đa 10 điểm
+ Đạt mục tiêu giờ Funtime của level đang học (theo kế hoạch giờ Funtime): tối đa 10 điểm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</si>
</sst>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scheme val="minor"/>
    </font>
    <font>
      <sz val="11"/>
      <color theme="1"/>
      <name val="Calibri"/>
      <family val="2"/>
      <scheme val="minor"/>
    </font>
    <font>
      <u val="singleAccounting"/>
      <sz val="11"/>
      <color theme="1"/>
      <name val="Calibri"/>
      <family val="2"/>
      <scheme val="minor"/>
    </font>
    <font>
      <sz val="12"/>
      <color theme="1"/>
      <name val="Calibri"/>
      <family val="2"/>
      <scheme val="minor"/>
    </font>
    <font>
      <b/>
      <sz val="20"/>
      <color theme="1"/>
      <name val="Calibri"/>
      <family val="2"/>
      <scheme val="minor"/>
    </font>
    <font>
      <sz val="20"/>
      <color theme="1"/>
      <name val="Calibri"/>
      <family val="2"/>
      <scheme val="minor"/>
    </font>
    <font>
      <b/>
      <u/>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164" fontId="0" fillId="0" borderId="0" xfId="1" applyNumberFormat="1" applyFont="1"/>
    <xf numFmtId="0" fontId="0" fillId="0" borderId="0" xfId="0" applyAlignment="1">
      <alignment horizontal="center" vertical="center" wrapText="1"/>
    </xf>
    <xf numFmtId="0" fontId="0" fillId="0" borderId="1" xfId="0" applyBorder="1" applyAlignment="1">
      <alignment horizontal="center" vertical="center" wrapText="1"/>
    </xf>
    <xf numFmtId="0" fontId="2" fillId="0" borderId="0" xfId="0" applyFont="1" applyAlignment="1">
      <alignment horizontal="center" vertical="center" wrapText="1"/>
    </xf>
    <xf numFmtId="164" fontId="0" fillId="0" borderId="0" xfId="1" applyNumberFormat="1" applyFont="1" applyAlignment="1">
      <alignment wrapText="1"/>
    </xf>
    <xf numFmtId="164" fontId="2" fillId="0" borderId="0" xfId="1" applyNumberFormat="1" applyFont="1" applyAlignment="1">
      <alignment wrapText="1"/>
    </xf>
    <xf numFmtId="0" fontId="3" fillId="0" borderId="2" xfId="0" applyFont="1" applyBorder="1" applyAlignment="1">
      <alignment horizontal="center" vertical="center" wrapText="1"/>
    </xf>
    <xf numFmtId="0" fontId="4" fillId="0" borderId="2" xfId="0" applyFont="1" applyBorder="1"/>
    <xf numFmtId="0" fontId="5" fillId="0" borderId="2" xfId="0" applyFont="1" applyBorder="1" applyAlignment="1">
      <alignment horizontal="left" vertical="top" wrapText="1"/>
    </xf>
    <xf numFmtId="0" fontId="5" fillId="0" borderId="2" xfId="0" applyFont="1" applyBorder="1" applyAlignment="1">
      <alignment wrapText="1"/>
    </xf>
    <xf numFmtId="0" fontId="5" fillId="0" borderId="2" xfId="0" applyFont="1" applyBorder="1"/>
    <xf numFmtId="0" fontId="5" fillId="0" borderId="2" xfId="1" applyNumberFormat="1" applyFont="1" applyBorder="1"/>
    <xf numFmtId="0" fontId="5" fillId="0" borderId="0" xfId="0" applyFont="1"/>
    <xf numFmtId="0" fontId="5" fillId="0" borderId="2" xfId="0" applyFont="1" applyBorder="1" applyAlignment="1">
      <alignment horizontal="center" vertical="center"/>
    </xf>
    <xf numFmtId="0" fontId="4" fillId="0" borderId="2" xfId="0" applyFont="1" applyBorder="1" applyAlignment="1">
      <alignment horizontal="left" vertical="top" wrapText="1"/>
    </xf>
    <xf numFmtId="0" fontId="4" fillId="0" borderId="2" xfId="0" applyFont="1" applyBorder="1" applyAlignment="1">
      <alignment horizontal="center" vertical="center" wrapText="1"/>
    </xf>
    <xf numFmtId="0" fontId="5" fillId="0" borderId="2" xfId="1" applyNumberFormat="1" applyFont="1" applyBorder="1" applyAlignment="1">
      <alignment horizontal="center" vertical="center"/>
    </xf>
    <xf numFmtId="164" fontId="5" fillId="0" borderId="0" xfId="1" applyNumberFormat="1" applyFont="1" applyAlignment="1">
      <alignment horizontal="center" vertical="center"/>
    </xf>
    <xf numFmtId="0" fontId="5" fillId="0" borderId="0" xfId="0" applyFont="1" applyAlignment="1">
      <alignment horizontal="center" vertical="center"/>
    </xf>
    <xf numFmtId="0" fontId="4" fillId="0" borderId="2" xfId="0" applyFont="1" applyBorder="1" applyAlignment="1">
      <alignment wrapText="1"/>
    </xf>
    <xf numFmtId="3" fontId="4" fillId="0" borderId="2" xfId="2" applyNumberFormat="1" applyFont="1" applyBorder="1"/>
    <xf numFmtId="0" fontId="4" fillId="0" borderId="0" xfId="2" applyNumberFormat="1" applyFont="1"/>
    <xf numFmtId="0" fontId="4" fillId="0" borderId="0" xfId="0" applyFont="1" applyAlignment="1">
      <alignment wrapText="1"/>
    </xf>
    <xf numFmtId="0" fontId="4" fillId="0" borderId="0" xfId="0" applyFont="1" applyAlignment="1">
      <alignment horizontal="left" vertical="top" wrapText="1"/>
    </xf>
    <xf numFmtId="9" fontId="5" fillId="0" borderId="0" xfId="2" applyFont="1"/>
    <xf numFmtId="0" fontId="5" fillId="0" borderId="0" xfId="1" applyNumberFormat="1" applyFont="1"/>
    <xf numFmtId="164" fontId="5" fillId="0" borderId="0" xfId="0" applyNumberFormat="1" applyFont="1"/>
    <xf numFmtId="0" fontId="5" fillId="0" borderId="2" xfId="0" applyFont="1" applyBorder="1" applyAlignment="1">
      <alignment horizontal="center" vertical="center" wrapText="1"/>
    </xf>
    <xf numFmtId="164" fontId="5" fillId="0" borderId="2" xfId="1" applyNumberFormat="1" applyFont="1" applyBorder="1" applyAlignment="1">
      <alignment horizontal="center" vertical="center" wrapText="1"/>
    </xf>
    <xf numFmtId="0" fontId="4" fillId="0" borderId="0" xfId="0" applyFont="1" applyAlignment="1">
      <alignment horizontal="center" vertical="center" wrapText="1"/>
    </xf>
    <xf numFmtId="16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2" borderId="2" xfId="0" applyFont="1" applyFill="1" applyBorder="1" applyAlignment="1">
      <alignment horizontal="center" vertical="center"/>
    </xf>
    <xf numFmtId="164" fontId="5" fillId="0" borderId="2" xfId="1" applyNumberFormat="1" applyFont="1" applyFill="1" applyBorder="1"/>
    <xf numFmtId="0" fontId="5" fillId="0" borderId="0" xfId="0" applyFont="1" applyAlignment="1">
      <alignment vertical="center" wrapText="1"/>
    </xf>
    <xf numFmtId="0" fontId="5" fillId="0" borderId="0" xfId="0" quotePrefix="1" applyFont="1" applyAlignment="1">
      <alignment vertical="center" wrapText="1"/>
    </xf>
    <xf numFmtId="0" fontId="5" fillId="0" borderId="0" xfId="0" quotePrefix="1" applyFont="1" applyAlignment="1">
      <alignment vertical="top" wrapText="1"/>
    </xf>
    <xf numFmtId="0" fontId="5" fillId="0" borderId="0" xfId="0" applyFont="1" applyAlignment="1">
      <alignment wrapText="1"/>
    </xf>
    <xf numFmtId="0" fontId="5" fillId="0" borderId="0" xfId="0" applyFont="1" applyAlignment="1">
      <alignment horizontal="left" vertical="top" wrapText="1"/>
    </xf>
    <xf numFmtId="164" fontId="5" fillId="3" borderId="0" xfId="1" applyNumberFormat="1" applyFont="1" applyFill="1"/>
    <xf numFmtId="43" fontId="5" fillId="0" borderId="0" xfId="0" applyNumberFormat="1" applyFont="1"/>
    <xf numFmtId="0" fontId="5" fillId="0" borderId="2"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F902-3D23-4F2E-A840-C20E48F64C3B}">
  <sheetPr>
    <pageSetUpPr fitToPage="1"/>
  </sheetPr>
  <dimension ref="A1:I20"/>
  <sheetViews>
    <sheetView tabSelected="1" view="pageBreakPreview" topLeftCell="A3" zoomScale="25" zoomScaleNormal="25" zoomScaleSheetLayoutView="25" workbookViewId="0">
      <selection activeCell="F12" sqref="F12"/>
    </sheetView>
  </sheetViews>
  <sheetFormatPr defaultRowHeight="26" x14ac:dyDescent="0.6"/>
  <cols>
    <col min="1" max="1" width="27.08984375" style="13" customWidth="1"/>
    <col min="2" max="2" width="141.90625" style="39" bestFit="1" customWidth="1"/>
    <col min="3" max="3" width="144" style="38" customWidth="1"/>
    <col min="4" max="4" width="9.1796875" style="13" customWidth="1"/>
    <col min="5" max="5" width="16.1796875" style="13" customWidth="1"/>
    <col min="6" max="6" width="22" style="26" customWidth="1"/>
    <col min="7" max="7" width="167.7265625" style="13" customWidth="1"/>
    <col min="8" max="16384" width="8.7265625" style="13"/>
  </cols>
  <sheetData>
    <row r="1" spans="1:9" x14ac:dyDescent="0.6">
      <c r="A1" s="8" t="s">
        <v>33</v>
      </c>
      <c r="B1" s="42"/>
      <c r="C1" s="10"/>
      <c r="D1" s="11" t="s">
        <v>34</v>
      </c>
      <c r="E1" s="11"/>
      <c r="F1" s="12"/>
    </row>
    <row r="2" spans="1:9" s="19" customFormat="1" ht="78" x14ac:dyDescent="0.35">
      <c r="A2" s="14"/>
      <c r="B2" s="15" t="s">
        <v>0</v>
      </c>
      <c r="C2" s="16" t="s">
        <v>10</v>
      </c>
      <c r="D2" s="16" t="s">
        <v>5</v>
      </c>
      <c r="E2" s="28" t="s">
        <v>6</v>
      </c>
      <c r="F2" s="17"/>
      <c r="G2" s="18"/>
    </row>
    <row r="3" spans="1:9" x14ac:dyDescent="0.6">
      <c r="A3" s="43" t="s">
        <v>1</v>
      </c>
      <c r="B3" s="9" t="s">
        <v>3</v>
      </c>
      <c r="C3" s="10"/>
      <c r="D3" s="11"/>
      <c r="E3" s="11"/>
      <c r="F3" s="21"/>
      <c r="G3" s="22"/>
    </row>
    <row r="4" spans="1:9" ht="52" x14ac:dyDescent="0.6">
      <c r="A4" s="44"/>
      <c r="B4" s="9" t="s">
        <v>9</v>
      </c>
      <c r="C4" s="10"/>
      <c r="D4" s="11"/>
      <c r="E4" s="11"/>
      <c r="F4" s="12"/>
    </row>
    <row r="5" spans="1:9" x14ac:dyDescent="0.6">
      <c r="A5" s="44"/>
      <c r="B5" s="9" t="s">
        <v>2</v>
      </c>
      <c r="C5" s="10"/>
      <c r="D5" s="11"/>
      <c r="E5" s="11"/>
      <c r="F5" s="12"/>
    </row>
    <row r="6" spans="1:9" ht="52" x14ac:dyDescent="0.6">
      <c r="A6" s="45"/>
      <c r="B6" s="9" t="s">
        <v>4</v>
      </c>
      <c r="C6" s="10"/>
      <c r="D6" s="11"/>
      <c r="E6" s="11"/>
      <c r="F6" s="12"/>
    </row>
    <row r="7" spans="1:9" x14ac:dyDescent="0.6">
      <c r="A7" s="20"/>
      <c r="B7" s="15" t="s">
        <v>7</v>
      </c>
      <c r="C7" s="20"/>
      <c r="D7" s="11" t="s">
        <v>8</v>
      </c>
      <c r="E7" s="11"/>
      <c r="F7" s="21" t="s">
        <v>14</v>
      </c>
      <c r="G7" s="22"/>
    </row>
    <row r="8" spans="1:9" x14ac:dyDescent="0.6">
      <c r="A8" s="23"/>
      <c r="B8" s="24"/>
      <c r="C8" s="23"/>
      <c r="E8" s="25"/>
      <c r="G8" s="27"/>
    </row>
    <row r="9" spans="1:9" s="32" customFormat="1" ht="104" x14ac:dyDescent="0.35">
      <c r="A9" s="16" t="s">
        <v>11</v>
      </c>
      <c r="B9" s="16" t="s">
        <v>32</v>
      </c>
      <c r="C9" s="16" t="s">
        <v>10</v>
      </c>
      <c r="D9" s="7" t="s">
        <v>31</v>
      </c>
      <c r="E9" s="7" t="s">
        <v>6</v>
      </c>
      <c r="F9" s="29" t="s">
        <v>30</v>
      </c>
      <c r="G9" s="30" t="s">
        <v>37</v>
      </c>
      <c r="H9" s="31"/>
      <c r="I9" s="31"/>
    </row>
    <row r="10" spans="1:9" x14ac:dyDescent="0.6">
      <c r="A10" s="11"/>
      <c r="B10" s="9"/>
      <c r="C10" s="10"/>
      <c r="D10" s="11"/>
      <c r="E10" s="11"/>
      <c r="F10" s="12"/>
    </row>
    <row r="11" spans="1:9" ht="130" x14ac:dyDescent="0.6">
      <c r="A11" s="11"/>
      <c r="B11" s="9" t="s">
        <v>38</v>
      </c>
      <c r="C11" s="10"/>
      <c r="D11" s="28">
        <v>10</v>
      </c>
      <c r="E11" s="33"/>
      <c r="F11" s="34"/>
      <c r="G11" s="35" t="s">
        <v>35</v>
      </c>
    </row>
    <row r="12" spans="1:9" ht="409.5" x14ac:dyDescent="0.6">
      <c r="A12" s="11"/>
      <c r="B12" s="9" t="s">
        <v>45</v>
      </c>
      <c r="C12" s="10" t="s">
        <v>43</v>
      </c>
      <c r="D12" s="28">
        <v>30</v>
      </c>
      <c r="E12" s="33"/>
      <c r="F12" s="34"/>
      <c r="G12" s="36" t="s">
        <v>44</v>
      </c>
    </row>
    <row r="13" spans="1:9" ht="409.5" x14ac:dyDescent="0.6">
      <c r="A13" s="11"/>
      <c r="B13" s="9" t="s">
        <v>39</v>
      </c>
      <c r="C13" s="10"/>
      <c r="D13" s="28">
        <v>20</v>
      </c>
      <c r="E13" s="33"/>
      <c r="F13" s="34"/>
      <c r="G13" s="37" t="s">
        <v>40</v>
      </c>
    </row>
    <row r="14" spans="1:9" ht="409.5" x14ac:dyDescent="0.6">
      <c r="A14" s="11"/>
      <c r="B14" s="9" t="s">
        <v>41</v>
      </c>
      <c r="C14" s="10"/>
      <c r="D14" s="28">
        <v>30</v>
      </c>
      <c r="E14" s="33"/>
      <c r="F14" s="34"/>
      <c r="G14" s="38" t="s">
        <v>36</v>
      </c>
    </row>
    <row r="15" spans="1:9" ht="130" x14ac:dyDescent="0.6">
      <c r="A15" s="11"/>
      <c r="B15" s="9" t="s">
        <v>42</v>
      </c>
      <c r="C15" s="10"/>
      <c r="D15" s="28">
        <v>10</v>
      </c>
      <c r="E15" s="33"/>
      <c r="F15" s="34"/>
      <c r="G15" s="38" t="s">
        <v>35</v>
      </c>
    </row>
    <row r="18" spans="4:7" x14ac:dyDescent="0.6">
      <c r="D18" s="38"/>
      <c r="E18" s="38"/>
    </row>
    <row r="20" spans="4:7" x14ac:dyDescent="0.6">
      <c r="E20" s="27"/>
      <c r="F20" s="40"/>
      <c r="G20" s="41"/>
    </row>
  </sheetData>
  <mergeCells count="1">
    <mergeCell ref="A3:A6"/>
  </mergeCells>
  <pageMargins left="0.25" right="0.25" top="0.75" bottom="0.75" header="0.3" footer="0.3"/>
  <pageSetup paperSize="9" scale="18" orientation="portrait" r:id="rId1"/>
  <rowBreaks count="1" manualBreakCount="1">
    <brk id="8"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EF7C-95B2-4F2C-BABB-CBAAEF2F56BB}">
  <dimension ref="A1:V15"/>
  <sheetViews>
    <sheetView zoomScale="80" zoomScaleNormal="80" workbookViewId="0">
      <selection activeCell="S1" activeCellId="5" sqref="K1:K1048576 M1 M1:M1048576 O1:O1048576 Q1:Q1048576 S1:S1048576"/>
    </sheetView>
  </sheetViews>
  <sheetFormatPr defaultRowHeight="14.5" x14ac:dyDescent="0.35"/>
  <cols>
    <col min="1" max="1" width="9.08984375" bestFit="1" customWidth="1"/>
    <col min="6" max="6" width="12.7265625" bestFit="1" customWidth="1"/>
    <col min="7" max="7" width="9.26953125" bestFit="1" customWidth="1"/>
    <col min="19" max="19" width="8.7265625" style="5"/>
    <col min="21" max="21" width="15.26953125" bestFit="1" customWidth="1"/>
  </cols>
  <sheetData>
    <row r="1" spans="1:22" s="2" customFormat="1" ht="43.5" x14ac:dyDescent="0.35">
      <c r="B1" s="2" t="s">
        <v>15</v>
      </c>
      <c r="C1" s="2" t="s">
        <v>16</v>
      </c>
      <c r="D1" s="2" t="s">
        <v>17</v>
      </c>
      <c r="E1" s="2" t="s">
        <v>18</v>
      </c>
      <c r="F1" s="2" t="s">
        <v>13</v>
      </c>
      <c r="G1" s="2" t="s">
        <v>19</v>
      </c>
      <c r="H1" s="2" t="s">
        <v>20</v>
      </c>
      <c r="I1" s="2" t="s">
        <v>21</v>
      </c>
      <c r="J1" s="2" t="s">
        <v>22</v>
      </c>
      <c r="K1" s="3" t="s">
        <v>23</v>
      </c>
      <c r="L1" s="3"/>
      <c r="M1" s="3"/>
      <c r="N1" s="3"/>
      <c r="O1" s="3"/>
      <c r="P1" s="3"/>
      <c r="Q1" s="3"/>
      <c r="R1" s="3"/>
      <c r="S1" s="3"/>
      <c r="U1" s="2" t="s">
        <v>12</v>
      </c>
    </row>
    <row r="2" spans="1:22" s="2" customFormat="1" ht="64" x14ac:dyDescent="0.35">
      <c r="K2" s="2" t="s">
        <v>24</v>
      </c>
      <c r="L2" s="2" t="s">
        <v>25</v>
      </c>
      <c r="M2" s="2" t="s">
        <v>26</v>
      </c>
      <c r="N2" s="2" t="s">
        <v>25</v>
      </c>
      <c r="O2" s="2" t="s">
        <v>27</v>
      </c>
      <c r="P2" s="2" t="s">
        <v>25</v>
      </c>
      <c r="Q2" s="2" t="s">
        <v>28</v>
      </c>
      <c r="R2" s="2" t="s">
        <v>25</v>
      </c>
      <c r="S2" s="4" t="s">
        <v>29</v>
      </c>
      <c r="T2" s="2" t="s">
        <v>25</v>
      </c>
    </row>
    <row r="3" spans="1:22" s="5" customFormat="1" x14ac:dyDescent="0.35">
      <c r="A3" s="5">
        <v>1</v>
      </c>
      <c r="F3" s="5">
        <v>75000</v>
      </c>
      <c r="G3" s="5">
        <v>16</v>
      </c>
      <c r="H3" s="5">
        <v>4</v>
      </c>
      <c r="I3" s="5">
        <v>40000</v>
      </c>
      <c r="O3" s="5">
        <v>2</v>
      </c>
      <c r="Q3" s="5">
        <v>3</v>
      </c>
      <c r="U3" s="5">
        <f>F3*G3+H3*I3+J3+(K3+M3+O3+Q3+S3)*50000</f>
        <v>1610000</v>
      </c>
      <c r="V3" s="5">
        <f>(K3+M3+O3+Q3+S3)*50000</f>
        <v>250000</v>
      </c>
    </row>
    <row r="4" spans="1:22" s="1" customFormat="1" x14ac:dyDescent="0.35">
      <c r="A4" s="1">
        <v>2</v>
      </c>
      <c r="F4" s="5">
        <v>75000</v>
      </c>
      <c r="S4" s="5"/>
    </row>
    <row r="5" spans="1:22" s="1" customFormat="1" ht="16" x14ac:dyDescent="0.5">
      <c r="A5" s="1">
        <v>3</v>
      </c>
      <c r="F5" s="5">
        <v>75000</v>
      </c>
      <c r="S5" s="6"/>
    </row>
    <row r="6" spans="1:22" s="1" customFormat="1" x14ac:dyDescent="0.35">
      <c r="A6" s="1">
        <v>4</v>
      </c>
      <c r="F6" s="5">
        <v>75000</v>
      </c>
      <c r="S6" s="5"/>
    </row>
    <row r="7" spans="1:22" s="1" customFormat="1" x14ac:dyDescent="0.35">
      <c r="A7" s="1">
        <v>5</v>
      </c>
      <c r="F7" s="5">
        <v>75000</v>
      </c>
      <c r="S7" s="5"/>
    </row>
    <row r="8" spans="1:22" s="1" customFormat="1" x14ac:dyDescent="0.35">
      <c r="F8" s="5">
        <v>75000</v>
      </c>
      <c r="S8" s="5"/>
    </row>
    <row r="9" spans="1:22" s="1" customFormat="1" x14ac:dyDescent="0.35">
      <c r="S9" s="5"/>
    </row>
    <row r="10" spans="1:22" s="1" customFormat="1" x14ac:dyDescent="0.35">
      <c r="S10" s="5"/>
    </row>
    <row r="11" spans="1:22" s="1" customFormat="1" x14ac:dyDescent="0.35">
      <c r="S11" s="5"/>
    </row>
    <row r="12" spans="1:22" s="1" customFormat="1" x14ac:dyDescent="0.35">
      <c r="S12" s="5"/>
    </row>
    <row r="13" spans="1:22" s="1" customFormat="1" x14ac:dyDescent="0.35">
      <c r="S13" s="5"/>
    </row>
    <row r="14" spans="1:22" s="1" customFormat="1" x14ac:dyDescent="0.35">
      <c r="S14" s="5"/>
    </row>
    <row r="15" spans="1:22" s="1" customFormat="1" x14ac:dyDescent="0.35">
      <c r="S15" s="5"/>
    </row>
  </sheetData>
  <dataValidations disablePrompts="1" count="3">
    <dataValidation type="whole" allowBlank="1" showInputMessage="1" showErrorMessage="1" sqref="O3:O1048576" xr:uid="{6ED855F1-8CCC-45EF-BAD2-0C3519E400BA}">
      <formula1>0</formula1>
      <formula2>2</formula2>
    </dataValidation>
    <dataValidation type="whole" allowBlank="1" showInputMessage="1" showErrorMessage="1" sqref="K1:K2 M3:M1048576 Q3:Q1048576" xr:uid="{3011567B-56DA-48AB-8B85-26A0FAD77BDB}">
      <formula1>0</formula1>
      <formula2>3</formula2>
    </dataValidation>
    <dataValidation type="whole" allowBlank="1" showInputMessage="1" showErrorMessage="1" sqref="K3:K1048576 S3:S1048576" xr:uid="{6C684FDA-4B86-4CB9-9985-39A9736088D2}">
      <formula1>0</formula1>
      <formula2>1</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Cuong Pham</dc:creator>
  <cp:lastModifiedBy>Cường Phạm</cp:lastModifiedBy>
  <cp:lastPrinted>2025-09-16T12:35:46Z</cp:lastPrinted>
  <dcterms:created xsi:type="dcterms:W3CDTF">2020-12-11T04:12:55Z</dcterms:created>
  <dcterms:modified xsi:type="dcterms:W3CDTF">2025-09-16T13:03:57Z</dcterms:modified>
</cp:coreProperties>
</file>